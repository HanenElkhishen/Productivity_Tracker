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EC2AE44-0756-4F27-8CFE-41DF6AFDB99E}" xr6:coauthVersionLast="47" xr6:coauthVersionMax="47" xr10:uidLastSave="{00000000-0000-0000-0000-000000000000}"/>
  <bookViews>
    <workbookView xWindow="-108" yWindow="-108" windowWidth="23256" windowHeight="12456" xr2:uid="{0E7CD59B-C523-477B-BD6E-7C2F871D8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9" i="1" l="1"/>
  <c r="W14" i="1"/>
  <c r="W13" i="1"/>
  <c r="W12" i="1"/>
  <c r="W11" i="1"/>
  <c r="W10" i="1"/>
  <c r="W9" i="1"/>
  <c r="Z9" i="1" l="1"/>
  <c r="Z10" i="1"/>
  <c r="Z11" i="1"/>
  <c r="Z12" i="1"/>
  <c r="Z13" i="1"/>
  <c r="Z14" i="1"/>
  <c r="X12" i="1"/>
  <c r="X13" i="1"/>
  <c r="X9" i="1"/>
  <c r="X14" i="1"/>
  <c r="X11" i="1"/>
  <c r="X10" i="1"/>
</calcChain>
</file>

<file path=xl/sharedStrings.xml><?xml version="1.0" encoding="utf-8"?>
<sst xmlns="http://schemas.openxmlformats.org/spreadsheetml/2006/main" count="38" uniqueCount="30">
  <si>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</si>
  <si>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</si>
  <si>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</si>
  <si>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</si>
  <si>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</si>
  <si>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</si>
  <si>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</si>
  <si>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</si>
  <si>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</si>
  <si>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</si>
  <si>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</si>
  <si>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</si>
  <si>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Percentage</t>
  </si>
  <si>
    <t>Days</t>
  </si>
  <si>
    <t>A+</t>
  </si>
  <si>
    <t>A</t>
  </si>
  <si>
    <t>B</t>
  </si>
  <si>
    <t>C</t>
  </si>
  <si>
    <t>D</t>
  </si>
  <si>
    <t>F</t>
  </si>
  <si>
    <t>Legende</t>
  </si>
  <si>
    <t>Very Prorductive Day</t>
  </si>
  <si>
    <t>Productive</t>
  </si>
  <si>
    <t>Avarage / Okay Day</t>
  </si>
  <si>
    <t>Low Productivity</t>
  </si>
  <si>
    <t>Very Low Productivity</t>
  </si>
  <si>
    <t>No Productivity</t>
  </si>
  <si>
    <t xml:space="preserve"> </t>
  </si>
  <si>
    <r>
      <rPr>
        <b/>
        <sz val="18"/>
        <color theme="1" tint="4.9989318521683403E-2"/>
        <rFont val="Script MT Bold"/>
        <family val="4"/>
      </rPr>
      <t>2026</t>
    </r>
    <r>
      <rPr>
        <sz val="18"/>
        <color theme="1" tint="4.9989318521683403E-2"/>
        <rFont val="Abhaya Libre ExtraBold"/>
      </rPr>
      <t xml:space="preserve"> Productivity Tracker</t>
    </r>
  </si>
  <si>
    <t>Total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</si>
</sst>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8"/>
      <color theme="1" tint="4.9989318521683403E-2"/>
      <name val="Script MT Bold"/>
      <family val="4"/>
    </font>
    <font>
      <sz val="18"/>
      <color theme="1" tint="4.9989318521683403E-2"/>
      <name val="Abhaya Libre ExtraBold"/>
    </font>
    <font>
      <sz val="18"/>
      <color theme="1" tint="4.9989318521683403E-2"/>
      <name val="Abhaya Libre ExtraBold"/>
      <family val="4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8" borderId="1" xfId="0" applyFill="1" applyBorder="1"/>
    <xf numFmtId="0" fontId="2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0" fillId="0" borderId="0" xfId="0" applyAlignment="1"/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</cellXfs>
  <cellStyles count="1">
    <cellStyle name="Normal" xfId="0" builtinId="0"/>
  </cellStyles>
  <dxfs count="8"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f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EF99-1B95-4400-B543-6C1BF6684C44}">
  <dimension ref="H2:AD38"/>
  <sheetViews>
    <sheetView tabSelected="1" topLeftCell="B1" zoomScale="63" zoomScaleNormal="89" workbookViewId="0">
      <selection activeCell="I8" sqref="I8"/>
    </sheetView>
  </sheetViews>
  <sheetFormatPr defaultRowHeight="14.4" x14ac:dyDescent="0.3"/>
  <cols>
    <col min="19" max="19" width="11.109375" bestFit="1" customWidth="1"/>
    <col min="26" max="26" width="12.88671875" bestFit="1" customWidth="1"/>
    <col min="30" max="30" width="10.6640625" bestFit="1" customWidth="1"/>
  </cols>
  <sheetData>
    <row r="2" spans="8:30" x14ac:dyDescent="0.3"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8:30" x14ac:dyDescent="0.3">
      <c r="I3" s="15"/>
      <c r="J3" s="15"/>
      <c r="K3" s="19" t="s">
        <v>28</v>
      </c>
      <c r="L3" s="20"/>
      <c r="M3" s="20"/>
      <c r="N3" s="20"/>
      <c r="O3" s="20"/>
      <c r="P3" s="20"/>
      <c r="Q3" s="20"/>
      <c r="R3" s="20"/>
      <c r="S3" s="15"/>
    </row>
    <row r="4" spans="8:30" x14ac:dyDescent="0.3">
      <c r="I4" s="15"/>
      <c r="J4" s="15"/>
      <c r="K4" s="20"/>
      <c r="L4" s="20"/>
      <c r="M4" s="20"/>
      <c r="N4" s="20"/>
      <c r="O4" s="20"/>
      <c r="P4" s="20"/>
      <c r="Q4" s="20"/>
      <c r="R4" s="20"/>
      <c r="S4" s="15"/>
    </row>
    <row r="5" spans="8:30" x14ac:dyDescent="0.3">
      <c r="AA5" t="s">
        <v>27</v>
      </c>
    </row>
    <row r="7" spans="8:30" ht="16.8" x14ac:dyDescent="0.3">
      <c r="H7" s="9"/>
      <c r="I7" s="12" t="s">
        <v>0</v>
      </c>
      <c r="J7" s="12" t="s">
        <v>1</v>
      </c>
      <c r="K7" s="12" t="s">
        <v>2</v>
      </c>
      <c r="L7" s="12" t="s">
        <v>3</v>
      </c>
      <c r="M7" s="12" t="s">
        <v>4</v>
      </c>
      <c r="N7" s="12" t="s">
        <v>5</v>
      </c>
      <c r="O7" s="12" t="s">
        <v>6</v>
      </c>
      <c r="P7" s="12" t="s">
        <v>7</v>
      </c>
      <c r="Q7" s="12" t="s">
        <v>8</v>
      </c>
      <c r="R7" s="12" t="s">
        <v>9</v>
      </c>
      <c r="S7" s="12" t="s">
        <v>10</v>
      </c>
      <c r="T7" s="12" t="s">
        <v>11</v>
      </c>
    </row>
    <row r="8" spans="8:30" ht="16.8" x14ac:dyDescent="0.4">
      <c r="H8" s="13">
        <v>1</v>
      </c>
      <c r="I8" s="2" t="s">
        <v>15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V8" s="9"/>
      <c r="W8" s="21" t="s">
        <v>13</v>
      </c>
      <c r="X8" s="21"/>
      <c r="Y8" s="21"/>
      <c r="Z8" s="14" t="s">
        <v>12</v>
      </c>
      <c r="AD8" s="1" t="s">
        <v>29</v>
      </c>
    </row>
    <row r="9" spans="8:30" ht="16.8" x14ac:dyDescent="0.3">
      <c r="H9" s="13">
        <v>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V9" s="8" t="s">
        <v>14</v>
      </c>
      <c r="W9" s="10">
        <f>COUNTIF(I8:T38,"A+")</f>
        <v>0</v>
      </c>
      <c r="X9" s="22">
        <f>W9/$AD$9</f>
        <v>0</v>
      </c>
      <c r="Y9" s="23"/>
      <c r="Z9" s="11">
        <f>W9/$AD$9</f>
        <v>0</v>
      </c>
      <c r="AD9" s="1">
        <f>COUNTA($I$8:$T$38)</f>
        <v>1</v>
      </c>
    </row>
    <row r="10" spans="8:30" ht="16.8" x14ac:dyDescent="0.3">
      <c r="H10" s="13">
        <v>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V10" s="3" t="s">
        <v>15</v>
      </c>
      <c r="W10" s="10">
        <f>COUNTIF(I8:T38,"A")</f>
        <v>1</v>
      </c>
      <c r="X10" s="22">
        <f t="shared" ref="X10:X14" si="0">W10/$AD$9</f>
        <v>1</v>
      </c>
      <c r="Y10" s="23"/>
      <c r="Z10" s="11">
        <f t="shared" ref="Z10:Z14" si="1">W10/$AD$9</f>
        <v>1</v>
      </c>
    </row>
    <row r="11" spans="8:30" ht="16.8" x14ac:dyDescent="0.3">
      <c r="H11" s="13">
        <v>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V11" s="4" t="s">
        <v>16</v>
      </c>
      <c r="W11" s="10">
        <f>COUNTIF(I8:T38,"B")</f>
        <v>0</v>
      </c>
      <c r="X11" s="22">
        <f t="shared" si="0"/>
        <v>0</v>
      </c>
      <c r="Y11" s="23"/>
      <c r="Z11" s="11">
        <f t="shared" si="1"/>
        <v>0</v>
      </c>
    </row>
    <row r="12" spans="8:30" ht="16.8" x14ac:dyDescent="0.3">
      <c r="H12" s="13">
        <v>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V12" s="5" t="s">
        <v>17</v>
      </c>
      <c r="W12" s="10">
        <f>COUNTIF(I8:T38,"C")</f>
        <v>0</v>
      </c>
      <c r="X12" s="22">
        <f t="shared" si="0"/>
        <v>0</v>
      </c>
      <c r="Y12" s="23"/>
      <c r="Z12" s="11">
        <f t="shared" si="1"/>
        <v>0</v>
      </c>
    </row>
    <row r="13" spans="8:30" ht="16.8" x14ac:dyDescent="0.3">
      <c r="H13" s="13">
        <v>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V13" s="6" t="s">
        <v>18</v>
      </c>
      <c r="W13" s="10">
        <f>COUNTIF(I8:T38,"D")</f>
        <v>0</v>
      </c>
      <c r="X13" s="22">
        <f t="shared" si="0"/>
        <v>0</v>
      </c>
      <c r="Y13" s="23"/>
      <c r="Z13" s="11">
        <f t="shared" si="1"/>
        <v>0</v>
      </c>
    </row>
    <row r="14" spans="8:30" ht="16.8" x14ac:dyDescent="0.3">
      <c r="H14" s="13">
        <v>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V14" s="7" t="s">
        <v>19</v>
      </c>
      <c r="W14" s="10">
        <f>COUNTIF(I8:T38,"F")</f>
        <v>0</v>
      </c>
      <c r="X14" s="22">
        <f t="shared" si="0"/>
        <v>0</v>
      </c>
      <c r="Y14" s="23"/>
      <c r="Z14" s="11">
        <f t="shared" si="1"/>
        <v>0</v>
      </c>
    </row>
    <row r="15" spans="8:30" ht="16.8" x14ac:dyDescent="0.3">
      <c r="H15" s="13">
        <v>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8:30" ht="16.8" x14ac:dyDescent="0.3">
      <c r="H16" s="13">
        <v>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8:26" ht="16.8" x14ac:dyDescent="0.4">
      <c r="H17" s="13">
        <v>10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V17" s="21" t="s">
        <v>20</v>
      </c>
      <c r="W17" s="21"/>
      <c r="X17" s="21"/>
      <c r="Y17" s="21"/>
      <c r="Z17" s="21"/>
    </row>
    <row r="18" spans="8:26" ht="16.8" x14ac:dyDescent="0.3">
      <c r="H18" s="13">
        <v>11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V18" s="8" t="s">
        <v>14</v>
      </c>
      <c r="W18" s="16" t="s">
        <v>21</v>
      </c>
      <c r="X18" s="17"/>
      <c r="Y18" s="17"/>
      <c r="Z18" s="18"/>
    </row>
    <row r="19" spans="8:26" ht="16.8" x14ac:dyDescent="0.3">
      <c r="H19" s="13">
        <v>12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V19" s="3" t="s">
        <v>15</v>
      </c>
      <c r="W19" s="16" t="s">
        <v>22</v>
      </c>
      <c r="X19" s="17"/>
      <c r="Y19" s="17"/>
      <c r="Z19" s="18"/>
    </row>
    <row r="20" spans="8:26" ht="16.8" x14ac:dyDescent="0.3">
      <c r="H20" s="13">
        <v>13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V20" s="4" t="s">
        <v>16</v>
      </c>
      <c r="W20" s="16" t="s">
        <v>23</v>
      </c>
      <c r="X20" s="17"/>
      <c r="Y20" s="17"/>
      <c r="Z20" s="18"/>
    </row>
    <row r="21" spans="8:26" ht="16.8" x14ac:dyDescent="0.3">
      <c r="H21" s="13">
        <v>14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V21" s="5" t="s">
        <v>17</v>
      </c>
      <c r="W21" s="16" t="s">
        <v>24</v>
      </c>
      <c r="X21" s="17"/>
      <c r="Y21" s="17"/>
      <c r="Z21" s="18"/>
    </row>
    <row r="22" spans="8:26" ht="16.8" x14ac:dyDescent="0.3">
      <c r="H22" s="13">
        <v>15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V22" s="6" t="s">
        <v>18</v>
      </c>
      <c r="W22" s="16" t="s">
        <v>25</v>
      </c>
      <c r="X22" s="17"/>
      <c r="Y22" s="17"/>
      <c r="Z22" s="18"/>
    </row>
    <row r="23" spans="8:26" ht="16.8" x14ac:dyDescent="0.3">
      <c r="H23" s="13">
        <v>16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V23" s="7" t="s">
        <v>19</v>
      </c>
      <c r="W23" s="16" t="s">
        <v>26</v>
      </c>
      <c r="X23" s="17"/>
      <c r="Y23" s="17"/>
      <c r="Z23" s="18"/>
    </row>
    <row r="24" spans="8:26" ht="16.8" x14ac:dyDescent="0.3">
      <c r="H24" s="13">
        <v>17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8:26" ht="16.8" x14ac:dyDescent="0.3">
      <c r="H25" s="13">
        <v>18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8:26" ht="16.8" x14ac:dyDescent="0.3">
      <c r="H26" s="13">
        <v>19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8:26" ht="16.8" x14ac:dyDescent="0.3">
      <c r="H27" s="13">
        <v>20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V27" t="s">
        <v>27</v>
      </c>
    </row>
    <row r="28" spans="8:26" ht="16.8" x14ac:dyDescent="0.3">
      <c r="H28" s="13">
        <v>21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8:26" ht="16.8" x14ac:dyDescent="0.3">
      <c r="H29" s="13">
        <v>22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8:26" ht="16.8" x14ac:dyDescent="0.3">
      <c r="H30" s="13">
        <v>23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8:26" ht="16.8" x14ac:dyDescent="0.3">
      <c r="H31" s="13">
        <v>24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8:26" ht="16.8" x14ac:dyDescent="0.3">
      <c r="H32" s="13">
        <v>25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8:20" ht="16.8" x14ac:dyDescent="0.3">
      <c r="H33" s="13">
        <v>26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8:20" ht="16.8" x14ac:dyDescent="0.3">
      <c r="H34" s="13">
        <v>27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8:20" ht="16.8" x14ac:dyDescent="0.3">
      <c r="H35" s="13">
        <v>28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8:20" ht="16.8" x14ac:dyDescent="0.3">
      <c r="H36" s="13">
        <v>29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8:20" ht="16.8" x14ac:dyDescent="0.3">
      <c r="H37" s="13">
        <v>30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8:20" ht="16.8" x14ac:dyDescent="0.3">
      <c r="H38" s="13">
        <v>31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</sheetData>
  <mergeCells count="15">
    <mergeCell ref="W23:Z23"/>
    <mergeCell ref="K3:R4"/>
    <mergeCell ref="V17:Z17"/>
    <mergeCell ref="W18:Z18"/>
    <mergeCell ref="W19:Z19"/>
    <mergeCell ref="W20:Z20"/>
    <mergeCell ref="W21:Z21"/>
    <mergeCell ref="W22:Z22"/>
    <mergeCell ref="W8:Y8"/>
    <mergeCell ref="X9:Y9"/>
    <mergeCell ref="X10:Y10"/>
    <mergeCell ref="X11:Y11"/>
    <mergeCell ref="X12:Y12"/>
    <mergeCell ref="X13:Y13"/>
    <mergeCell ref="X14:Y14"/>
  </mergeCells>
  <phoneticPr fontId="3" type="noConversion"/>
  <conditionalFormatting sqref="H7:T38">
    <cfRule type="cellIs" dxfId="7" priority="25" operator="equal">
      <formula>"A+"</formula>
    </cfRule>
  </conditionalFormatting>
  <conditionalFormatting sqref="I8">
    <cfRule type="cellIs" dxfId="6" priority="24" operator="equal">
      <formula>"A"</formula>
    </cfRule>
  </conditionalFormatting>
  <conditionalFormatting sqref="I8:T38">
    <cfRule type="cellIs" dxfId="5" priority="18" operator="equal">
      <formula>"F"</formula>
    </cfRule>
    <cfRule type="cellIs" dxfId="4" priority="19" operator="equal">
      <formula>"D"</formula>
    </cfRule>
    <cfRule type="cellIs" dxfId="3" priority="20" operator="equal">
      <formula>"C"</formula>
    </cfRule>
    <cfRule type="cellIs" dxfId="2" priority="21" operator="equal">
      <formula>"B"</formula>
    </cfRule>
    <cfRule type="cellIs" dxfId="1" priority="22" operator="equal">
      <formula>"A"</formula>
    </cfRule>
    <cfRule type="cellIs" dxfId="0" priority="23" operator="equal">
      <formula>"A+"</formula>
    </cfRule>
  </conditionalFormatting>
  <conditionalFormatting sqref="X9:Y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{2C1C75ED-A7BE-496C-8A85-EDDE408BFFCA}</x14:id>
        </ext>
      </extLst>
    </cfRule>
  </conditionalFormatting>
  <conditionalFormatting sqref="X9:Y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{78C139A0-BFFE-40FD-8E02-09334193FFF0}</x14:id>
        </ext>
      </extLst>
    </cfRule>
  </conditionalFormatting>
  <conditionalFormatting sqref="X10:Y1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{556A0B49-D00F-4E56-B325-7B97B7AAA1B2}</x14:id>
        </ext>
      </extLst>
    </cfRule>
  </conditionalFormatting>
  <conditionalFormatting sqref="X11:Y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{0E7E2987-94AD-436C-ADC4-A7D5657EA793}</x14:id>
        </ext>
      </extLst>
    </cfRule>
  </conditionalFormatting>
  <conditionalFormatting sqref="X12:Y12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{60F9964A-4473-48C5-B587-6F8753C98110}</x14:id>
        </ext>
      </extLst>
    </cfRule>
  </conditionalFormatting>
  <conditionalFormatting sqref="X13:Y13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{0722B318-3055-4847-A1A6-502C0D101FBD}</x14:id>
        </ext>
      </extLst>
    </cfRule>
  </conditionalFormatting>
  <conditionalFormatting sqref="X14:Y1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{6DC1ADAC-EA45-4E19-A0B2-E3C416A7FBAB}</x14:id>
        </ext>
      </extLst>
    </cfRule>
  </conditionalFormatting>
  <dataValidations count="1">
    <dataValidation type="list" allowBlank="1" showInputMessage="1" showErrorMessage="1" sqref="H7:T38" xr:uid="{573139E2-3633-4DD8-8592-DD495C812659}">
      <formula1>$V$9:$V$14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C75ED-A7BE-496C-8A85-EDDE408BFF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X9:Y9</xm:sqref>
        </x14:conditionalFormatting>
        <x14:conditionalFormatting xmlns:xm="http://schemas.microsoft.com/office/excel/2006/main">
          <x14:cfRule type="dataBar" id="{78C139A0-BFFE-40FD-8E02-09334193FF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X9:Y14</xm:sqref>
        </x14:conditionalFormatting>
        <x14:conditionalFormatting xmlns:xm="http://schemas.microsoft.com/office/excel/2006/main">
          <x14:cfRule type="dataBar" id="{556A0B49-D00F-4E56-B325-7B97B7AAA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X10:Y10</xm:sqref>
        </x14:conditionalFormatting>
        <x14:conditionalFormatting xmlns:xm="http://schemas.microsoft.com/office/excel/2006/main">
          <x14:cfRule type="dataBar" id="{0E7E2987-94AD-436C-ADC4-A7D5657EA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X11:Y11</xm:sqref>
        </x14:conditionalFormatting>
        <x14:conditionalFormatting xmlns:xm="http://schemas.microsoft.com/office/excel/2006/main">
          <x14:cfRule type="dataBar" id="{60F9964A-4473-48C5-B587-6F8753C9811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X12:Y12</xm:sqref>
        </x14:conditionalFormatting>
        <x14:conditionalFormatting xmlns:xm="http://schemas.microsoft.com/office/excel/2006/main">
          <x14:cfRule type="dataBar" id="{0722B318-3055-4847-A1A6-502C0D101F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X13:Y13</xm:sqref>
        </x14:conditionalFormatting>
        <x14:conditionalFormatting xmlns:xm="http://schemas.microsoft.com/office/excel/2006/main">
          <x14:cfRule type="dataBar" id="{6DC1ADAC-EA45-4E19-A0B2-E3C416A7FB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X14:Y14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Hanen Hosam</dc:creator>
  <cp:lastModifiedBy>Hanen Hosam</cp:lastModifiedBy>
  <dcterms:created xsi:type="dcterms:W3CDTF">2026-01-02T09:52:47Z</dcterms:created>
  <dcterms:modified xsi:type="dcterms:W3CDTF">2026-01-02T13:43:11Z</dcterms:modified>
</cp:coreProperties>
</file>